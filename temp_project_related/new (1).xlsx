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HP\Desktop\"/>
    </mc:Choice>
  </mc:AlternateContent>
  <bookViews>
    <workbookView xWindow="0" yWindow="0" windowWidth="19200" windowHeight="7290" activeTab="3"/>
  </bookViews>
  <sheets>
    <sheet name="Item Master" sheetId="1" r:id="rId1"/>
    <sheet name="Customer Master" sheetId="2" r:id="rId2"/>
    <sheet name="Supplier" sheetId="3" r:id="rId3"/>
    <sheet name="Stock Management" sheetId="4" r:id="rId4"/>
    <sheet name="Purchase" sheetId="5" r:id="rId5"/>
    <sheet name="Sell" sheetId="6" r:id="rId6"/>
    <sheet name="Customer and Supplier " sheetId="7" r:id="rId7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19" i="7" l="1"/>
  <c r="D19" i="7"/>
  <c r="E4" i="7"/>
  <c r="D4" i="7"/>
  <c r="Q13" i="4"/>
  <c r="P13" i="4"/>
  <c r="O13" i="4"/>
  <c r="Q12" i="4"/>
  <c r="P12" i="4"/>
  <c r="O12" i="4"/>
  <c r="N13" i="4"/>
  <c r="N12" i="4"/>
  <c r="N11" i="4"/>
  <c r="M13" i="4"/>
  <c r="M12" i="4"/>
  <c r="M11" i="4"/>
  <c r="L13" i="4"/>
  <c r="L12" i="4"/>
  <c r="L11" i="4"/>
  <c r="K13" i="4"/>
  <c r="K12" i="4"/>
  <c r="K11" i="4"/>
  <c r="L11" i="6"/>
  <c r="L10" i="6"/>
  <c r="L9" i="6"/>
  <c r="K11" i="6"/>
  <c r="M11" i="6" s="1"/>
  <c r="K10" i="6"/>
  <c r="M10" i="6" s="1"/>
  <c r="K9" i="6"/>
  <c r="M9" i="6" s="1"/>
  <c r="F11" i="6"/>
  <c r="F10" i="6"/>
  <c r="F9" i="6"/>
  <c r="J15" i="6"/>
  <c r="I15" i="6"/>
  <c r="H15" i="6"/>
  <c r="M14" i="6"/>
  <c r="M13" i="6"/>
  <c r="M12" i="6"/>
  <c r="J13" i="4"/>
  <c r="J12" i="4"/>
  <c r="J11" i="4"/>
  <c r="F13" i="4"/>
  <c r="H11" i="5"/>
  <c r="F12" i="4"/>
  <c r="F11" i="4"/>
  <c r="I13" i="4"/>
  <c r="I12" i="4"/>
  <c r="I11" i="4"/>
  <c r="H13" i="4"/>
  <c r="H12" i="4"/>
  <c r="H11" i="4"/>
  <c r="G13" i="4"/>
  <c r="G12" i="4"/>
  <c r="G11" i="4"/>
  <c r="E13" i="4"/>
  <c r="E12" i="4"/>
  <c r="E11" i="4"/>
  <c r="J15" i="5"/>
  <c r="K15" i="5"/>
  <c r="L15" i="5"/>
  <c r="N15" i="5"/>
  <c r="N14" i="5"/>
  <c r="N13" i="5"/>
  <c r="N12" i="5"/>
  <c r="N11" i="5"/>
  <c r="N10" i="5"/>
  <c r="H9" i="5"/>
  <c r="H10" i="5"/>
  <c r="N9" i="5"/>
  <c r="Q11" i="4" l="1"/>
  <c r="P11" i="4"/>
  <c r="O11" i="4"/>
  <c r="M15" i="6"/>
</calcChain>
</file>

<file path=xl/comments1.xml><?xml version="1.0" encoding="utf-8"?>
<comments xmlns="http://schemas.openxmlformats.org/spreadsheetml/2006/main">
  <authors>
    <author>HP</author>
  </authors>
  <commentList>
    <comment ref="H7" authorId="0" shapeId="0">
      <text>
        <r>
          <rPr>
            <b/>
            <sz val="9"/>
            <color indexed="81"/>
            <rFont val="Tahoma"/>
            <charset val="1"/>
          </rPr>
          <t>HP:</t>
        </r>
        <r>
          <rPr>
            <sz val="9"/>
            <color indexed="81"/>
            <rFont val="Tahoma"/>
            <charset val="1"/>
          </rPr>
          <t xml:space="preserve">
Auto Fetch Item Code
</t>
        </r>
      </text>
    </comment>
  </commentList>
</comments>
</file>

<file path=xl/comments2.xml><?xml version="1.0" encoding="utf-8"?>
<comments xmlns="http://schemas.openxmlformats.org/spreadsheetml/2006/main">
  <authors>
    <author>HP</author>
  </authors>
  <commentList>
    <comment ref="F7" authorId="0" shapeId="0">
      <text>
        <r>
          <rPr>
            <b/>
            <sz val="9"/>
            <color indexed="81"/>
            <rFont val="Tahoma"/>
            <charset val="1"/>
          </rPr>
          <t>HP:</t>
        </r>
        <r>
          <rPr>
            <sz val="9"/>
            <color indexed="81"/>
            <rFont val="Tahoma"/>
            <charset val="1"/>
          </rPr>
          <t xml:space="preserve">
Auto Fetch Item Code
</t>
        </r>
      </text>
    </comment>
    <comment ref="L7" authorId="0" shapeId="0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It should be editable
</t>
        </r>
      </text>
    </comment>
  </commentList>
</comments>
</file>

<file path=xl/sharedStrings.xml><?xml version="1.0" encoding="utf-8"?>
<sst xmlns="http://schemas.openxmlformats.org/spreadsheetml/2006/main" count="112" uniqueCount="51">
  <si>
    <t>Item Name</t>
  </si>
  <si>
    <t>Category</t>
  </si>
  <si>
    <t>Image</t>
  </si>
  <si>
    <t>Selling Price</t>
  </si>
  <si>
    <t>Type</t>
  </si>
  <si>
    <t>Sub-Category</t>
  </si>
  <si>
    <t>Item Code</t>
  </si>
  <si>
    <t>Glass</t>
  </si>
  <si>
    <t>GL-001</t>
  </si>
  <si>
    <t>Soda Glass</t>
  </si>
  <si>
    <t>Kitchen Item</t>
  </si>
  <si>
    <t>Cup</t>
  </si>
  <si>
    <t>Cu-001</t>
  </si>
  <si>
    <t xml:space="preserve">Plastic </t>
  </si>
  <si>
    <t>Show Piece</t>
  </si>
  <si>
    <t>Sr.No</t>
  </si>
  <si>
    <t>Bowl</t>
  </si>
  <si>
    <t>Bw-001</t>
  </si>
  <si>
    <t xml:space="preserve">Steel </t>
  </si>
  <si>
    <t>Plate</t>
  </si>
  <si>
    <t>Pl-001</t>
  </si>
  <si>
    <t>Plastic</t>
  </si>
  <si>
    <t>Pl-002</t>
  </si>
  <si>
    <t>Steel</t>
  </si>
  <si>
    <t>Pl-003</t>
  </si>
  <si>
    <t>Customer Name</t>
  </si>
  <si>
    <t>Supplier Name</t>
  </si>
  <si>
    <t>Date</t>
  </si>
  <si>
    <t>Cartoon</t>
  </si>
  <si>
    <t>Quantity</t>
  </si>
  <si>
    <t>Rate</t>
  </si>
  <si>
    <t>Amount</t>
  </si>
  <si>
    <t>Description</t>
  </si>
  <si>
    <t>A</t>
  </si>
  <si>
    <t>B</t>
  </si>
  <si>
    <t>C</t>
  </si>
  <si>
    <t>Weight</t>
  </si>
  <si>
    <t>13.08.2026</t>
  </si>
  <si>
    <t>Total</t>
  </si>
  <si>
    <t>Weight in KG</t>
  </si>
  <si>
    <t>In</t>
  </si>
  <si>
    <t>Out</t>
  </si>
  <si>
    <t>Balance</t>
  </si>
  <si>
    <t>Generate Bar Code for Indivisual Item</t>
  </si>
  <si>
    <t>X</t>
  </si>
  <si>
    <t>Y</t>
  </si>
  <si>
    <t>Z</t>
  </si>
  <si>
    <t>Actual Rate</t>
  </si>
  <si>
    <t xml:space="preserve">Customer  </t>
  </si>
  <si>
    <t xml:space="preserve">Supplier </t>
  </si>
  <si>
    <t>Edit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</si>
</sst>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indexed="81"/>
      <name val="Tahoma"/>
      <charset val="1"/>
    </font>
    <font>
      <b/>
      <sz val="9"/>
      <color indexed="81"/>
      <name val="Tahoma"/>
      <charset val="1"/>
    </font>
    <font>
      <sz val="9"/>
      <color indexed="81"/>
      <name val="Tahoma"/>
      <family val="2"/>
    </font>
    <font>
      <b/>
      <sz val="9"/>
      <color indexed="81"/>
      <name val="Tahoma"/>
      <family val="2"/>
    </font>
  </fonts>
  <fills count="2">
    <fill>
      <patternFill patternType="none"/>
    </fill>
    <fill>
      <patternFill patternType="gray125"/>
    </fill>
  </fills>
  <borders count="1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36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0" fillId="0" borderId="13" xfId="0" applyBorder="1"/>
    <xf numFmtId="0" fontId="1" fillId="0" borderId="4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4" xfId="0" applyFont="1" applyBorder="1" applyAlignment="1">
      <alignment horizontal="center"/>
    </xf>
    <xf numFmtId="0" fontId="1" fillId="0" borderId="5" xfId="0" applyFont="1" applyBorder="1" applyAlignment="1">
      <alignment horizontal="center"/>
    </xf>
    <xf numFmtId="0" fontId="1" fillId="0" borderId="6" xfId="0" applyFont="1" applyBorder="1" applyAlignment="1">
      <alignment horizont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0" fillId="0" borderId="18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2:K16"/>
  <sheetViews>
    <sheetView workbookViewId="0">
      <selection activeCell="J4" sqref="J4"/>
    </sheetView>
  </sheetViews>
  <sheetFormatPr defaultRowHeight="14.5" x14ac:dyDescent="0.35"/>
  <cols>
    <col min="4" max="5" width="15.54296875" customWidth="1"/>
    <col min="6" max="6" width="14.6328125" customWidth="1"/>
    <col min="7" max="7" width="17.81640625" customWidth="1"/>
    <col min="8" max="8" width="19" customWidth="1"/>
    <col min="9" max="9" width="11.81640625" customWidth="1"/>
  </cols>
  <sheetData>
    <row r="2" spans="3:11" ht="15" thickBot="1" x14ac:dyDescent="0.4"/>
    <row r="3" spans="3:11" ht="15" thickBot="1" x14ac:dyDescent="0.4">
      <c r="C3" s="13" t="s">
        <v>15</v>
      </c>
      <c r="D3" s="14" t="s">
        <v>0</v>
      </c>
      <c r="E3" s="14" t="s">
        <v>6</v>
      </c>
      <c r="F3" s="14" t="s">
        <v>1</v>
      </c>
      <c r="G3" s="14" t="s">
        <v>5</v>
      </c>
      <c r="H3" s="14" t="s">
        <v>4</v>
      </c>
      <c r="I3" s="14" t="s">
        <v>3</v>
      </c>
      <c r="J3" s="14" t="s">
        <v>50</v>
      </c>
      <c r="K3" s="15" t="s">
        <v>2</v>
      </c>
    </row>
    <row r="4" spans="3:11" x14ac:dyDescent="0.35">
      <c r="C4" s="11"/>
      <c r="D4" s="5"/>
      <c r="E4" s="5"/>
      <c r="F4" s="5"/>
      <c r="G4" s="5"/>
      <c r="H4" s="5"/>
      <c r="I4" s="5"/>
      <c r="J4" s="5"/>
      <c r="K4" s="12"/>
    </row>
    <row r="5" spans="3:11" x14ac:dyDescent="0.35">
      <c r="C5" s="6">
        <v>1</v>
      </c>
      <c r="D5" s="3" t="s">
        <v>9</v>
      </c>
      <c r="E5" s="3" t="s">
        <v>8</v>
      </c>
      <c r="F5" s="3" t="s">
        <v>7</v>
      </c>
      <c r="G5" s="3" t="s">
        <v>18</v>
      </c>
      <c r="H5" s="3" t="s">
        <v>10</v>
      </c>
      <c r="I5" s="3">
        <v>100</v>
      </c>
      <c r="J5" s="3"/>
      <c r="K5" s="7"/>
    </row>
    <row r="6" spans="3:11" x14ac:dyDescent="0.35">
      <c r="C6" s="6"/>
      <c r="D6" s="3"/>
      <c r="E6" s="3"/>
      <c r="F6" s="3"/>
      <c r="G6" s="3"/>
      <c r="H6" s="3"/>
      <c r="I6" s="3"/>
      <c r="J6" s="3"/>
      <c r="K6" s="7"/>
    </row>
    <row r="7" spans="3:11" x14ac:dyDescent="0.35">
      <c r="C7" s="6">
        <v>2</v>
      </c>
      <c r="D7" s="3" t="s">
        <v>11</v>
      </c>
      <c r="E7" s="3" t="s">
        <v>12</v>
      </c>
      <c r="F7" s="3" t="s">
        <v>11</v>
      </c>
      <c r="G7" s="3" t="s">
        <v>13</v>
      </c>
      <c r="H7" s="3" t="s">
        <v>14</v>
      </c>
      <c r="I7" s="3">
        <v>40</v>
      </c>
      <c r="J7" s="3"/>
      <c r="K7" s="7"/>
    </row>
    <row r="8" spans="3:11" x14ac:dyDescent="0.35">
      <c r="C8" s="6"/>
      <c r="D8" s="3"/>
      <c r="E8" s="3"/>
      <c r="F8" s="3"/>
      <c r="G8" s="3"/>
      <c r="H8" s="3"/>
      <c r="I8" s="3"/>
      <c r="J8" s="3"/>
      <c r="K8" s="7"/>
    </row>
    <row r="9" spans="3:11" x14ac:dyDescent="0.35">
      <c r="C9" s="6">
        <v>3</v>
      </c>
      <c r="D9" s="3" t="s">
        <v>16</v>
      </c>
      <c r="E9" s="3" t="s">
        <v>17</v>
      </c>
      <c r="F9" s="3" t="s">
        <v>16</v>
      </c>
      <c r="G9" s="3" t="s">
        <v>7</v>
      </c>
      <c r="H9" s="3" t="s">
        <v>10</v>
      </c>
      <c r="I9" s="3">
        <v>110</v>
      </c>
      <c r="J9" s="3"/>
      <c r="K9" s="7"/>
    </row>
    <row r="10" spans="3:11" x14ac:dyDescent="0.35">
      <c r="C10" s="6"/>
      <c r="D10" s="3"/>
      <c r="E10" s="3"/>
      <c r="F10" s="3"/>
      <c r="G10" s="3"/>
      <c r="H10" s="3"/>
      <c r="I10" s="3"/>
      <c r="J10" s="3"/>
      <c r="K10" s="7"/>
    </row>
    <row r="11" spans="3:11" x14ac:dyDescent="0.35">
      <c r="C11" s="6">
        <v>4</v>
      </c>
      <c r="D11" s="3" t="s">
        <v>19</v>
      </c>
      <c r="E11" s="3" t="s">
        <v>20</v>
      </c>
      <c r="F11" s="3" t="s">
        <v>19</v>
      </c>
      <c r="G11" s="3" t="s">
        <v>21</v>
      </c>
      <c r="H11" s="3" t="s">
        <v>10</v>
      </c>
      <c r="I11" s="3">
        <v>60</v>
      </c>
      <c r="J11" s="3"/>
      <c r="K11" s="7"/>
    </row>
    <row r="12" spans="3:11" x14ac:dyDescent="0.35">
      <c r="C12" s="6"/>
      <c r="D12" s="3"/>
      <c r="E12" s="3"/>
      <c r="F12" s="3"/>
      <c r="G12" s="3"/>
      <c r="H12" s="3"/>
      <c r="I12" s="3"/>
      <c r="J12" s="3"/>
      <c r="K12" s="7"/>
    </row>
    <row r="13" spans="3:11" x14ac:dyDescent="0.35">
      <c r="C13" s="6">
        <v>5</v>
      </c>
      <c r="D13" s="3" t="s">
        <v>19</v>
      </c>
      <c r="E13" s="3" t="s">
        <v>22</v>
      </c>
      <c r="F13" s="3" t="s">
        <v>19</v>
      </c>
      <c r="G13" s="3" t="s">
        <v>23</v>
      </c>
      <c r="H13" s="3" t="s">
        <v>10</v>
      </c>
      <c r="I13" s="3">
        <v>90</v>
      </c>
      <c r="J13" s="3"/>
      <c r="K13" s="7"/>
    </row>
    <row r="14" spans="3:11" x14ac:dyDescent="0.35">
      <c r="C14" s="6"/>
      <c r="D14" s="3"/>
      <c r="E14" s="3"/>
      <c r="F14" s="3"/>
      <c r="G14" s="3"/>
      <c r="H14" s="3"/>
      <c r="I14" s="3"/>
      <c r="J14" s="3"/>
      <c r="K14" s="7"/>
    </row>
    <row r="15" spans="3:11" x14ac:dyDescent="0.35">
      <c r="C15" s="6">
        <v>6</v>
      </c>
      <c r="D15" s="3" t="s">
        <v>19</v>
      </c>
      <c r="E15" s="3" t="s">
        <v>24</v>
      </c>
      <c r="F15" s="3" t="s">
        <v>19</v>
      </c>
      <c r="G15" s="3" t="s">
        <v>7</v>
      </c>
      <c r="H15" s="3" t="s">
        <v>10</v>
      </c>
      <c r="I15" s="3">
        <v>120</v>
      </c>
      <c r="J15" s="3"/>
      <c r="K15" s="7"/>
    </row>
    <row r="16" spans="3:11" ht="15" thickBot="1" x14ac:dyDescent="0.4">
      <c r="C16" s="8"/>
      <c r="D16" s="9"/>
      <c r="E16" s="9"/>
      <c r="F16" s="9"/>
      <c r="G16" s="9"/>
      <c r="H16" s="9"/>
      <c r="I16" s="9"/>
      <c r="J16" s="9"/>
      <c r="K16" s="10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4:E8"/>
  <sheetViews>
    <sheetView workbookViewId="0">
      <selection activeCell="C9" sqref="C9"/>
    </sheetView>
  </sheetViews>
  <sheetFormatPr defaultRowHeight="14.5" x14ac:dyDescent="0.35"/>
  <cols>
    <col min="4" max="4" width="19.54296875" customWidth="1"/>
    <col min="5" max="5" width="16.1796875" customWidth="1"/>
  </cols>
  <sheetData>
    <row r="4" spans="3:5" x14ac:dyDescent="0.35">
      <c r="D4" t="s">
        <v>25</v>
      </c>
      <c r="E4" t="s">
        <v>1</v>
      </c>
    </row>
    <row r="6" spans="3:5" x14ac:dyDescent="0.35">
      <c r="C6">
        <v>1</v>
      </c>
      <c r="D6" t="s">
        <v>44</v>
      </c>
    </row>
    <row r="7" spans="3:5" x14ac:dyDescent="0.35">
      <c r="C7">
        <v>2</v>
      </c>
      <c r="D7" t="s">
        <v>45</v>
      </c>
    </row>
    <row r="8" spans="3:5" x14ac:dyDescent="0.35">
      <c r="C8">
        <v>3</v>
      </c>
      <c r="D8" t="s">
        <v>46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D4:E8"/>
  <sheetViews>
    <sheetView workbookViewId="0">
      <selection activeCell="E14" sqref="E14"/>
    </sheetView>
  </sheetViews>
  <sheetFormatPr defaultRowHeight="14.5" x14ac:dyDescent="0.35"/>
  <cols>
    <col min="5" max="5" width="20.90625" customWidth="1"/>
  </cols>
  <sheetData>
    <row r="4" spans="4:5" x14ac:dyDescent="0.35">
      <c r="E4" t="s">
        <v>26</v>
      </c>
    </row>
    <row r="6" spans="4:5" x14ac:dyDescent="0.35">
      <c r="D6">
        <v>1</v>
      </c>
      <c r="E6" t="s">
        <v>33</v>
      </c>
    </row>
    <row r="7" spans="4:5" x14ac:dyDescent="0.35">
      <c r="D7">
        <v>2</v>
      </c>
      <c r="E7" t="s">
        <v>34</v>
      </c>
    </row>
    <row r="8" spans="4:5" x14ac:dyDescent="0.35">
      <c r="D8">
        <v>3</v>
      </c>
      <c r="E8" t="s">
        <v>35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E3:R13"/>
  <sheetViews>
    <sheetView tabSelected="1" workbookViewId="0">
      <selection activeCell="A11" sqref="A11"/>
    </sheetView>
  </sheetViews>
  <sheetFormatPr defaultRowHeight="14.5" x14ac:dyDescent="0.35"/>
  <cols>
    <col min="5" max="5" width="17.08984375" customWidth="1"/>
    <col min="6" max="6" width="15.1796875" customWidth="1"/>
    <col min="7" max="11" width="16.36328125" customWidth="1"/>
    <col min="12" max="13" width="19.90625" customWidth="1"/>
    <col min="14" max="14" width="17.90625" customWidth="1"/>
    <col min="15" max="15" width="17.453125" customWidth="1"/>
    <col min="16" max="16" width="15.81640625" customWidth="1"/>
    <col min="17" max="17" width="16.6328125" customWidth="1"/>
    <col min="18" max="18" width="17.7265625" customWidth="1"/>
  </cols>
  <sheetData>
    <row r="3" spans="5:18" x14ac:dyDescent="0.35">
      <c r="E3" s="2" t="s">
        <v>0</v>
      </c>
      <c r="F3" s="2" t="s">
        <v>6</v>
      </c>
      <c r="G3" s="2" t="s">
        <v>1</v>
      </c>
      <c r="H3" s="2" t="s">
        <v>5</v>
      </c>
      <c r="I3" s="2" t="s">
        <v>4</v>
      </c>
    </row>
    <row r="7" spans="5:18" ht="15" thickBot="1" x14ac:dyDescent="0.4"/>
    <row r="8" spans="5:18" ht="15" thickBot="1" x14ac:dyDescent="0.4">
      <c r="E8" s="3"/>
      <c r="F8" s="4"/>
      <c r="G8" s="16" t="s">
        <v>40</v>
      </c>
      <c r="H8" s="17"/>
      <c r="I8" s="17"/>
      <c r="J8" s="18"/>
      <c r="K8" s="16" t="s">
        <v>41</v>
      </c>
      <c r="L8" s="17"/>
      <c r="M8" s="17"/>
      <c r="N8" s="18"/>
      <c r="O8" s="16" t="s">
        <v>42</v>
      </c>
      <c r="P8" s="17"/>
      <c r="Q8" s="17"/>
      <c r="R8" s="18"/>
    </row>
    <row r="9" spans="5:18" x14ac:dyDescent="0.35">
      <c r="E9" s="3" t="s">
        <v>0</v>
      </c>
      <c r="F9" s="3" t="s">
        <v>6</v>
      </c>
      <c r="G9" s="5" t="s">
        <v>28</v>
      </c>
      <c r="H9" s="5" t="s">
        <v>29</v>
      </c>
      <c r="I9" s="5" t="s">
        <v>36</v>
      </c>
      <c r="J9" s="5" t="s">
        <v>31</v>
      </c>
      <c r="K9" s="5" t="s">
        <v>28</v>
      </c>
      <c r="L9" s="5" t="s">
        <v>29</v>
      </c>
      <c r="M9" s="5" t="s">
        <v>36</v>
      </c>
      <c r="N9" s="5" t="s">
        <v>31</v>
      </c>
      <c r="O9" s="5" t="s">
        <v>28</v>
      </c>
      <c r="P9" s="5" t="s">
        <v>29</v>
      </c>
      <c r="Q9" s="5" t="s">
        <v>36</v>
      </c>
      <c r="R9" s="5" t="s">
        <v>31</v>
      </c>
    </row>
    <row r="10" spans="5:18" x14ac:dyDescent="0.35"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</row>
    <row r="11" spans="5:18" x14ac:dyDescent="0.35">
      <c r="E11" s="3" t="str">
        <f>Purchase!G9</f>
        <v>Cup</v>
      </c>
      <c r="F11" s="3" t="str">
        <f>'Item Master'!E7</f>
        <v>Cu-001</v>
      </c>
      <c r="G11" s="3">
        <f>Purchase!J9</f>
        <v>4</v>
      </c>
      <c r="H11" s="3">
        <f>Purchase!K9</f>
        <v>400</v>
      </c>
      <c r="I11" s="3">
        <f>Purchase!L9</f>
        <v>100</v>
      </c>
      <c r="J11" s="3">
        <f>Purchase!N9</f>
        <v>12000</v>
      </c>
      <c r="K11" s="3">
        <f>Sell!H9</f>
        <v>2</v>
      </c>
      <c r="L11" s="3">
        <f>Sell!I9</f>
        <v>200</v>
      </c>
      <c r="M11" s="3">
        <f>Sell!J9</f>
        <v>50</v>
      </c>
      <c r="N11" s="3">
        <f>Sell!M9</f>
        <v>8000</v>
      </c>
      <c r="O11" s="3">
        <f>G11-K11</f>
        <v>2</v>
      </c>
      <c r="P11" s="3">
        <f>H11-L11</f>
        <v>200</v>
      </c>
      <c r="Q11" s="3">
        <f>I11-M11</f>
        <v>50</v>
      </c>
      <c r="R11" s="3"/>
    </row>
    <row r="12" spans="5:18" x14ac:dyDescent="0.35">
      <c r="E12" s="3" t="str">
        <f>Purchase!G10</f>
        <v>Bowl</v>
      </c>
      <c r="F12" s="3" t="str">
        <f>'Item Master'!E9</f>
        <v>Bw-001</v>
      </c>
      <c r="G12" s="3">
        <f>Purchase!J10</f>
        <v>2</v>
      </c>
      <c r="H12" s="3">
        <f>Purchase!K10</f>
        <v>200</v>
      </c>
      <c r="I12" s="3">
        <f>Purchase!L10</f>
        <v>50</v>
      </c>
      <c r="J12" s="3">
        <f>Purchase!N10</f>
        <v>16000</v>
      </c>
      <c r="K12" s="3">
        <f>Sell!H10</f>
        <v>1</v>
      </c>
      <c r="L12" s="3">
        <f>Sell!I10</f>
        <v>100</v>
      </c>
      <c r="M12" s="3">
        <f>Sell!J10</f>
        <v>25</v>
      </c>
      <c r="N12" s="3">
        <f>Sell!M10</f>
        <v>11000</v>
      </c>
      <c r="O12" s="3">
        <f t="shared" ref="O12:O13" si="0">G12-K12</f>
        <v>1</v>
      </c>
      <c r="P12" s="3">
        <f t="shared" ref="P12:P13" si="1">H12-L12</f>
        <v>100</v>
      </c>
      <c r="Q12" s="3">
        <f t="shared" ref="Q12:Q13" si="2">I12-M12</f>
        <v>25</v>
      </c>
      <c r="R12" s="3"/>
    </row>
    <row r="13" spans="5:18" x14ac:dyDescent="0.35">
      <c r="E13" s="3" t="str">
        <f>Purchase!G11</f>
        <v>Plate</v>
      </c>
      <c r="F13" s="3" t="str">
        <f>'Item Master'!E11</f>
        <v>Pl-001</v>
      </c>
      <c r="G13" s="3">
        <f>Purchase!J11</f>
        <v>1</v>
      </c>
      <c r="H13" s="3">
        <f>Purchase!K11</f>
        <v>100</v>
      </c>
      <c r="I13" s="3">
        <f>Purchase!L11</f>
        <v>10</v>
      </c>
      <c r="J13" s="3">
        <f>Purchase!N11</f>
        <v>2000</v>
      </c>
      <c r="K13" s="3">
        <f>Sell!H11</f>
        <v>1</v>
      </c>
      <c r="L13" s="3">
        <f>Sell!I11</f>
        <v>100</v>
      </c>
      <c r="M13" s="3">
        <f>Sell!J11</f>
        <v>10</v>
      </c>
      <c r="N13" s="3">
        <f>Sell!M11</f>
        <v>6000</v>
      </c>
      <c r="O13" s="3">
        <f t="shared" si="0"/>
        <v>0</v>
      </c>
      <c r="P13" s="3">
        <f t="shared" si="1"/>
        <v>0</v>
      </c>
      <c r="Q13" s="3">
        <f t="shared" si="2"/>
        <v>0</v>
      </c>
      <c r="R13" s="3"/>
    </row>
  </sheetData>
  <mergeCells count="3">
    <mergeCell ref="G8:J8"/>
    <mergeCell ref="K8:N8"/>
    <mergeCell ref="O8:R8"/>
  </mergeCells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G1:O15"/>
  <sheetViews>
    <sheetView topLeftCell="F1" workbookViewId="0">
      <selection activeCell="K4" sqref="K4"/>
    </sheetView>
  </sheetViews>
  <sheetFormatPr defaultRowHeight="14.5" x14ac:dyDescent="0.35"/>
  <cols>
    <col min="1" max="4" width="8.7265625" style="1"/>
    <col min="5" max="5" width="17.08984375" style="1" customWidth="1"/>
    <col min="6" max="6" width="21.1796875" style="1" customWidth="1"/>
    <col min="7" max="7" width="17.7265625" style="1" customWidth="1"/>
    <col min="8" max="9" width="14.7265625" style="1" customWidth="1"/>
    <col min="10" max="10" width="16.81640625" style="1" customWidth="1"/>
    <col min="11" max="12" width="13.6328125" style="1" customWidth="1"/>
    <col min="13" max="13" width="14.1796875" style="1" customWidth="1"/>
    <col min="14" max="14" width="13.36328125" style="1" customWidth="1"/>
    <col min="15" max="15" width="35.36328125" style="1" customWidth="1"/>
    <col min="16" max="16384" width="8.7265625" style="1"/>
  </cols>
  <sheetData>
    <row r="1" spans="7:15" ht="15" thickBot="1" x14ac:dyDescent="0.4"/>
    <row r="2" spans="7:15" x14ac:dyDescent="0.35">
      <c r="G2" s="21" t="s">
        <v>27</v>
      </c>
      <c r="H2" s="22" t="s">
        <v>26</v>
      </c>
    </row>
    <row r="3" spans="7:15" x14ac:dyDescent="0.35">
      <c r="G3" s="23"/>
      <c r="H3" s="24"/>
    </row>
    <row r="4" spans="7:15" ht="15" thickBot="1" x14ac:dyDescent="0.4">
      <c r="G4" s="25" t="s">
        <v>37</v>
      </c>
      <c r="H4" s="26" t="s">
        <v>33</v>
      </c>
    </row>
    <row r="6" spans="7:15" ht="15" thickBot="1" x14ac:dyDescent="0.4"/>
    <row r="7" spans="7:15" ht="15" thickBot="1" x14ac:dyDescent="0.4">
      <c r="G7" s="30" t="s">
        <v>0</v>
      </c>
      <c r="H7" s="31" t="s">
        <v>6</v>
      </c>
      <c r="I7" s="31" t="s">
        <v>32</v>
      </c>
      <c r="J7" s="31" t="s">
        <v>28</v>
      </c>
      <c r="K7" s="31" t="s">
        <v>29</v>
      </c>
      <c r="L7" s="31" t="s">
        <v>39</v>
      </c>
      <c r="M7" s="31" t="s">
        <v>30</v>
      </c>
      <c r="N7" s="32" t="s">
        <v>31</v>
      </c>
    </row>
    <row r="8" spans="7:15" x14ac:dyDescent="0.35">
      <c r="G8" s="27"/>
      <c r="H8" s="28"/>
      <c r="I8" s="28"/>
      <c r="J8" s="28"/>
      <c r="K8" s="28"/>
      <c r="L8" s="28"/>
      <c r="M8" s="28"/>
      <c r="N8" s="29"/>
    </row>
    <row r="9" spans="7:15" x14ac:dyDescent="0.35">
      <c r="G9" s="23" t="s">
        <v>11</v>
      </c>
      <c r="H9" s="20" t="str">
        <f>'Item Master'!E7</f>
        <v>Cu-001</v>
      </c>
      <c r="I9" s="20"/>
      <c r="J9" s="20">
        <v>4</v>
      </c>
      <c r="K9" s="20">
        <v>400</v>
      </c>
      <c r="L9" s="20">
        <v>100</v>
      </c>
      <c r="M9" s="20">
        <v>30</v>
      </c>
      <c r="N9" s="24">
        <f>M9*K9</f>
        <v>12000</v>
      </c>
      <c r="O9" s="1" t="s">
        <v>43</v>
      </c>
    </row>
    <row r="10" spans="7:15" x14ac:dyDescent="0.35">
      <c r="G10" s="23" t="s">
        <v>16</v>
      </c>
      <c r="H10" s="20" t="str">
        <f>'Item Master'!E9</f>
        <v>Bw-001</v>
      </c>
      <c r="I10" s="20"/>
      <c r="J10" s="20">
        <v>2</v>
      </c>
      <c r="K10" s="20">
        <v>200</v>
      </c>
      <c r="L10" s="20">
        <v>50</v>
      </c>
      <c r="M10" s="20">
        <v>80</v>
      </c>
      <c r="N10" s="24">
        <f t="shared" ref="N10:N14" si="0">M10*K10</f>
        <v>16000</v>
      </c>
      <c r="O10" s="1" t="s">
        <v>43</v>
      </c>
    </row>
    <row r="11" spans="7:15" x14ac:dyDescent="0.35">
      <c r="G11" s="23" t="s">
        <v>19</v>
      </c>
      <c r="H11" s="20" t="str">
        <f>'Item Master'!E11</f>
        <v>Pl-001</v>
      </c>
      <c r="I11" s="20"/>
      <c r="J11" s="20">
        <v>1</v>
      </c>
      <c r="K11" s="20">
        <v>100</v>
      </c>
      <c r="L11" s="20">
        <v>10</v>
      </c>
      <c r="M11" s="20">
        <v>20</v>
      </c>
      <c r="N11" s="24">
        <f t="shared" si="0"/>
        <v>2000</v>
      </c>
      <c r="O11" s="1" t="s">
        <v>43</v>
      </c>
    </row>
    <row r="12" spans="7:15" x14ac:dyDescent="0.35">
      <c r="G12" s="23"/>
      <c r="H12" s="20"/>
      <c r="I12" s="20"/>
      <c r="J12" s="20"/>
      <c r="K12" s="20"/>
      <c r="L12" s="20"/>
      <c r="M12" s="20"/>
      <c r="N12" s="24">
        <f t="shared" si="0"/>
        <v>0</v>
      </c>
    </row>
    <row r="13" spans="7:15" x14ac:dyDescent="0.35">
      <c r="G13" s="23"/>
      <c r="H13" s="20"/>
      <c r="I13" s="20"/>
      <c r="J13" s="20"/>
      <c r="K13" s="20"/>
      <c r="L13" s="20"/>
      <c r="M13" s="20"/>
      <c r="N13" s="24">
        <f t="shared" si="0"/>
        <v>0</v>
      </c>
    </row>
    <row r="14" spans="7:15" ht="15" thickBot="1" x14ac:dyDescent="0.4">
      <c r="G14" s="33"/>
      <c r="H14" s="34"/>
      <c r="I14" s="34"/>
      <c r="J14" s="34"/>
      <c r="K14" s="34"/>
      <c r="L14" s="34"/>
      <c r="M14" s="34"/>
      <c r="N14" s="35">
        <f t="shared" si="0"/>
        <v>0</v>
      </c>
    </row>
    <row r="15" spans="7:15" ht="15" thickBot="1" x14ac:dyDescent="0.4">
      <c r="G15" s="30" t="s">
        <v>38</v>
      </c>
      <c r="H15" s="31"/>
      <c r="I15" s="31"/>
      <c r="J15" s="31">
        <f>SUM(J9:J14)</f>
        <v>7</v>
      </c>
      <c r="K15" s="31">
        <f>SUM(K9:K14)</f>
        <v>700</v>
      </c>
      <c r="L15" s="31">
        <f>SUM(L9:L14)</f>
        <v>160</v>
      </c>
      <c r="M15" s="31"/>
      <c r="N15" s="32">
        <f>SUM(N9:N14)</f>
        <v>30000</v>
      </c>
    </row>
  </sheetData>
  <pageMargins left="0.7" right="0.7" top="0.75" bottom="0.75" header="0.3" footer="0.3"/>
  <legacyDrawing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>
          <x14:formula1>
            <xm:f>Supplier!$E$6:$E$8</xm:f>
          </x14:formula1>
          <xm:sqref>H4</xm:sqref>
        </x14:dataValidation>
        <x14:dataValidation type="list" allowBlank="1" showInputMessage="1" showErrorMessage="1">
          <x14:formula1>
            <xm:f>'Item Master'!$D$5:$D$15</xm:f>
          </x14:formula1>
          <xm:sqref>G9:G13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E1:M16"/>
  <sheetViews>
    <sheetView topLeftCell="B1" workbookViewId="0">
      <selection activeCell="F15" sqref="F15"/>
    </sheetView>
  </sheetViews>
  <sheetFormatPr defaultRowHeight="14.5" x14ac:dyDescent="0.35"/>
  <cols>
    <col min="5" max="5" width="18.08984375" customWidth="1"/>
    <col min="6" max="6" width="16.453125" customWidth="1"/>
    <col min="7" max="7" width="15" customWidth="1"/>
    <col min="8" max="8" width="13.08984375" customWidth="1"/>
    <col min="9" max="9" width="12.54296875" customWidth="1"/>
    <col min="10" max="10" width="14.36328125" customWidth="1"/>
    <col min="12" max="12" width="12.90625" customWidth="1"/>
  </cols>
  <sheetData>
    <row r="1" spans="5:13" ht="15" thickBot="1" x14ac:dyDescent="0.4"/>
    <row r="2" spans="5:13" x14ac:dyDescent="0.35">
      <c r="E2" s="21" t="s">
        <v>27</v>
      </c>
      <c r="F2" s="22" t="s">
        <v>25</v>
      </c>
      <c r="G2" s="1"/>
      <c r="H2" s="1"/>
      <c r="I2" s="1"/>
      <c r="J2" s="1"/>
      <c r="K2" s="1"/>
      <c r="L2" s="1"/>
      <c r="M2" s="1"/>
    </row>
    <row r="3" spans="5:13" x14ac:dyDescent="0.35">
      <c r="E3" s="23"/>
      <c r="F3" s="24"/>
      <c r="G3" s="1"/>
      <c r="H3" s="1"/>
      <c r="I3" s="1"/>
      <c r="J3" s="1"/>
      <c r="K3" s="1"/>
      <c r="L3" s="1"/>
      <c r="M3" s="1"/>
    </row>
    <row r="4" spans="5:13" ht="15" thickBot="1" x14ac:dyDescent="0.4">
      <c r="E4" s="25" t="s">
        <v>37</v>
      </c>
      <c r="F4" s="26" t="s">
        <v>44</v>
      </c>
      <c r="G4" s="1"/>
      <c r="H4" s="1"/>
      <c r="I4" s="1"/>
      <c r="J4" s="1"/>
      <c r="K4" s="1"/>
      <c r="L4" s="1"/>
      <c r="M4" s="1"/>
    </row>
    <row r="5" spans="5:13" x14ac:dyDescent="0.35">
      <c r="E5" s="1"/>
      <c r="F5" s="1"/>
      <c r="G5" s="1"/>
      <c r="H5" s="1"/>
      <c r="I5" s="1"/>
      <c r="J5" s="1"/>
      <c r="K5" s="1"/>
      <c r="L5" s="1"/>
      <c r="M5" s="1"/>
    </row>
    <row r="6" spans="5:13" ht="15" thickBot="1" x14ac:dyDescent="0.4">
      <c r="E6" s="1"/>
      <c r="F6" s="1"/>
      <c r="G6" s="1"/>
      <c r="H6" s="1"/>
      <c r="I6" s="1"/>
      <c r="J6" s="1"/>
      <c r="K6" s="1"/>
      <c r="L6" s="1"/>
      <c r="M6" s="1"/>
    </row>
    <row r="7" spans="5:13" ht="15" thickBot="1" x14ac:dyDescent="0.4">
      <c r="E7" s="30" t="s">
        <v>0</v>
      </c>
      <c r="F7" s="31" t="s">
        <v>6</v>
      </c>
      <c r="G7" s="31" t="s">
        <v>32</v>
      </c>
      <c r="H7" s="31" t="s">
        <v>28</v>
      </c>
      <c r="I7" s="31" t="s">
        <v>29</v>
      </c>
      <c r="J7" s="31" t="s">
        <v>39</v>
      </c>
      <c r="K7" s="31" t="s">
        <v>30</v>
      </c>
      <c r="L7" s="31" t="s">
        <v>47</v>
      </c>
      <c r="M7" s="32" t="s">
        <v>31</v>
      </c>
    </row>
    <row r="8" spans="5:13" x14ac:dyDescent="0.35">
      <c r="E8" s="27"/>
      <c r="F8" s="28"/>
      <c r="G8" s="28"/>
      <c r="H8" s="28"/>
      <c r="I8" s="28"/>
      <c r="J8" s="28"/>
      <c r="K8" s="28"/>
      <c r="L8" s="28"/>
      <c r="M8" s="29"/>
    </row>
    <row r="9" spans="5:13" x14ac:dyDescent="0.35">
      <c r="E9" s="23" t="s">
        <v>11</v>
      </c>
      <c r="F9" s="20" t="str">
        <f>'Item Master'!E7</f>
        <v>Cu-001</v>
      </c>
      <c r="G9" s="20"/>
      <c r="H9" s="20">
        <v>2</v>
      </c>
      <c r="I9" s="20">
        <v>200</v>
      </c>
      <c r="J9" s="20">
        <v>50</v>
      </c>
      <c r="K9" s="20">
        <f>'Item Master'!I7</f>
        <v>40</v>
      </c>
      <c r="L9" s="20">
        <f>K9</f>
        <v>40</v>
      </c>
      <c r="M9" s="24">
        <f>K9*I9</f>
        <v>8000</v>
      </c>
    </row>
    <row r="10" spans="5:13" x14ac:dyDescent="0.35">
      <c r="E10" s="23" t="s">
        <v>16</v>
      </c>
      <c r="F10" s="20" t="str">
        <f>'Item Master'!E9</f>
        <v>Bw-001</v>
      </c>
      <c r="G10" s="20"/>
      <c r="H10" s="20">
        <v>1</v>
      </c>
      <c r="I10" s="20">
        <v>100</v>
      </c>
      <c r="J10" s="20">
        <v>25</v>
      </c>
      <c r="K10" s="20">
        <f>'Item Master'!I9</f>
        <v>110</v>
      </c>
      <c r="L10" s="20">
        <f>K10</f>
        <v>110</v>
      </c>
      <c r="M10" s="24">
        <f t="shared" ref="M10:M14" si="0">K10*I10</f>
        <v>11000</v>
      </c>
    </row>
    <row r="11" spans="5:13" x14ac:dyDescent="0.35">
      <c r="E11" s="23" t="s">
        <v>19</v>
      </c>
      <c r="F11" s="20" t="str">
        <f>'Item Master'!E11</f>
        <v>Pl-001</v>
      </c>
      <c r="G11" s="20"/>
      <c r="H11" s="20">
        <v>1</v>
      </c>
      <c r="I11" s="20">
        <v>100</v>
      </c>
      <c r="J11" s="20">
        <v>10</v>
      </c>
      <c r="K11" s="20">
        <f>'Item Master'!I11</f>
        <v>60</v>
      </c>
      <c r="L11" s="20">
        <f>K11</f>
        <v>60</v>
      </c>
      <c r="M11" s="24">
        <f t="shared" si="0"/>
        <v>6000</v>
      </c>
    </row>
    <row r="12" spans="5:13" x14ac:dyDescent="0.35">
      <c r="E12" s="23"/>
      <c r="F12" s="20"/>
      <c r="G12" s="20"/>
      <c r="H12" s="20"/>
      <c r="I12" s="20"/>
      <c r="J12" s="20"/>
      <c r="K12" s="20"/>
      <c r="L12" s="20"/>
      <c r="M12" s="24">
        <f t="shared" si="0"/>
        <v>0</v>
      </c>
    </row>
    <row r="13" spans="5:13" x14ac:dyDescent="0.35">
      <c r="E13" s="23"/>
      <c r="F13" s="20"/>
      <c r="G13" s="20"/>
      <c r="H13" s="20"/>
      <c r="I13" s="20"/>
      <c r="J13" s="20"/>
      <c r="K13" s="20"/>
      <c r="L13" s="20"/>
      <c r="M13" s="24">
        <f t="shared" si="0"/>
        <v>0</v>
      </c>
    </row>
    <row r="14" spans="5:13" ht="15" thickBot="1" x14ac:dyDescent="0.4">
      <c r="E14" s="33"/>
      <c r="F14" s="34"/>
      <c r="G14" s="34"/>
      <c r="H14" s="34"/>
      <c r="I14" s="34"/>
      <c r="J14" s="34"/>
      <c r="K14" s="34"/>
      <c r="L14" s="34"/>
      <c r="M14" s="35">
        <f t="shared" si="0"/>
        <v>0</v>
      </c>
    </row>
    <row r="15" spans="5:13" ht="15" thickBot="1" x14ac:dyDescent="0.4">
      <c r="E15" s="30" t="s">
        <v>38</v>
      </c>
      <c r="F15" s="31"/>
      <c r="G15" s="31"/>
      <c r="H15" s="31">
        <f>SUM(H9:H14)</f>
        <v>4</v>
      </c>
      <c r="I15" s="31">
        <f>SUM(I9:I14)</f>
        <v>400</v>
      </c>
      <c r="J15" s="31">
        <f>SUM(J9:J14)</f>
        <v>85</v>
      </c>
      <c r="K15" s="31"/>
      <c r="L15" s="31"/>
      <c r="M15" s="32">
        <f>SUM(M9:M14)</f>
        <v>25000</v>
      </c>
    </row>
    <row r="16" spans="5:13" x14ac:dyDescent="0.35">
      <c r="E16" s="1"/>
      <c r="F16" s="1"/>
      <c r="G16" s="1"/>
      <c r="H16" s="1"/>
      <c r="I16" s="1"/>
      <c r="J16" s="1"/>
      <c r="K16" s="1"/>
      <c r="L16" s="1"/>
      <c r="M16" s="1"/>
    </row>
  </sheetData>
  <pageMargins left="0.7" right="0.7" top="0.75" bottom="0.75" header="0.3" footer="0.3"/>
  <legacyDrawing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>
          <x14:formula1>
            <xm:f>'Item Master'!$D$5:$D$15</xm:f>
          </x14:formula1>
          <xm:sqref>E9:E13</xm:sqref>
        </x14:dataValidation>
        <x14:dataValidation type="list" allowBlank="1" showInputMessage="1" showErrorMessage="1">
          <x14:formula1>
            <xm:f>'Customer Master'!$D$6:$D$8</xm:f>
          </x14:formula1>
          <xm:sqref>F4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D2:E19"/>
  <sheetViews>
    <sheetView workbookViewId="0">
      <selection activeCell="E4" sqref="E4"/>
    </sheetView>
  </sheetViews>
  <sheetFormatPr defaultRowHeight="14.5" x14ac:dyDescent="0.35"/>
  <cols>
    <col min="1" max="3" width="8.7265625" style="1"/>
    <col min="4" max="4" width="27.36328125" style="1" customWidth="1"/>
    <col min="5" max="5" width="20.90625" style="1" customWidth="1"/>
    <col min="6" max="16384" width="8.7265625" style="1"/>
  </cols>
  <sheetData>
    <row r="2" spans="4:5" x14ac:dyDescent="0.35">
      <c r="D2" s="19" t="s">
        <v>48</v>
      </c>
      <c r="E2" s="19"/>
    </row>
    <row r="3" spans="4:5" x14ac:dyDescent="0.35">
      <c r="D3" s="1" t="s">
        <v>25</v>
      </c>
      <c r="E3" s="1" t="s">
        <v>31</v>
      </c>
    </row>
    <row r="4" spans="4:5" x14ac:dyDescent="0.35">
      <c r="D4" s="1" t="str">
        <f>Sell!F4</f>
        <v>X</v>
      </c>
      <c r="E4" s="1">
        <f>Sell!M15</f>
        <v>25000</v>
      </c>
    </row>
    <row r="17" spans="4:5" x14ac:dyDescent="0.35">
      <c r="D17" s="19" t="s">
        <v>26</v>
      </c>
      <c r="E17" s="19"/>
    </row>
    <row r="18" spans="4:5" x14ac:dyDescent="0.35">
      <c r="D18" s="1" t="s">
        <v>49</v>
      </c>
      <c r="E18" s="1" t="s">
        <v>31</v>
      </c>
    </row>
    <row r="19" spans="4:5" x14ac:dyDescent="0.35">
      <c r="D19" s="1" t="str">
        <f>Purchase!H4</f>
        <v>A</v>
      </c>
      <c r="E19" s="1">
        <f>Purchase!N15</f>
        <v>30000</v>
      </c>
    </row>
  </sheetData>
  <mergeCells count="2">
    <mergeCell ref="D2:E2"/>
    <mergeCell ref="D17:E1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Item Master</vt:lpstr>
      <vt:lpstr>Customer Master</vt:lpstr>
      <vt:lpstr>Supplier</vt:lpstr>
      <vt:lpstr>Stock Management</vt:lpstr>
      <vt:lpstr>Purchase</vt:lpstr>
      <vt:lpstr>Sell</vt:lpstr>
      <vt:lpstr>Customer and Supplier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2026-08-12T18:04:52Z</dcterms:created>
  <dcterms:modified xsi:type="dcterms:W3CDTF">2026-08-13T12:11:00Z</dcterms:modified>
</cp:coreProperties>
</file>